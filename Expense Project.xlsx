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0\Downloads\CODE BASICS\Excel Project\"/>
    </mc:Choice>
  </mc:AlternateContent>
  <xr:revisionPtr revIDLastSave="0" documentId="8_{F91D4B29-4869-45A2-96FB-34FA8894B622}" xr6:coauthVersionLast="47" xr6:coauthVersionMax="47" xr10:uidLastSave="{00000000-0000-0000-0000-000000000000}"/>
  <bookViews>
    <workbookView xWindow="-108" yWindow="-108" windowWidth="23256" windowHeight="13896" xr2:uid="{7E6497B6-8B8E-431B-B18C-F9FBF2DE3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1" l="1"/>
  <c r="C31" i="1"/>
  <c r="D31" i="1"/>
  <c r="E31" i="1"/>
  <c r="B31" i="1"/>
  <c r="C29" i="1"/>
  <c r="D29" i="1"/>
  <c r="E29" i="1"/>
  <c r="N29" i="1"/>
  <c r="B29" i="1"/>
  <c r="N12" i="1"/>
  <c r="C12" i="1"/>
  <c r="D12" i="1"/>
  <c r="E12" i="1"/>
  <c r="B12" i="1"/>
</calcChain>
</file>

<file path=xl/sharedStrings.xml><?xml version="1.0" encoding="utf-8"?>
<sst xmlns="http://schemas.openxmlformats.org/spreadsheetml/2006/main" count="52" uniqueCount="38">
  <si>
    <t>Monthly Savings Target                   40000</t>
  </si>
  <si>
    <t>Income</t>
  </si>
  <si>
    <t>Item</t>
  </si>
  <si>
    <t>Salary</t>
  </si>
  <si>
    <t>Rental income</t>
  </si>
  <si>
    <t>divident, Stock Gair</t>
  </si>
  <si>
    <t>Freelancing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</si>
  <si>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</si>
  <si>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</si>
  <si>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</si>
  <si>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</si>
  <si>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</si>
  <si>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</si>
  <si>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</si>
  <si>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</si>
  <si>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</si>
  <si>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</si>
  <si>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</si>
  <si>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</si>
  <si>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</si>
  <si>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Personal Income, Expense tracker</t>
  </si>
  <si>
    <t>Total Income</t>
  </si>
  <si>
    <t>Expenses</t>
  </si>
  <si>
    <t>Housing</t>
  </si>
  <si>
    <t>Mortgage or Rent</t>
  </si>
  <si>
    <t>Phone</t>
  </si>
  <si>
    <t>Electricity</t>
  </si>
  <si>
    <t>Gas</t>
  </si>
  <si>
    <t>Other Maintenance</t>
  </si>
  <si>
    <t>Food</t>
  </si>
  <si>
    <t>Groceries</t>
  </si>
  <si>
    <t>Dining out</t>
  </si>
  <si>
    <t>Fuel Expenses</t>
  </si>
  <si>
    <t>Bus/Train/Taxi/Flight</t>
  </si>
  <si>
    <t>Transportation</t>
  </si>
  <si>
    <t>Vehicle maintenance</t>
  </si>
  <si>
    <t>Total Expenses</t>
  </si>
  <si>
    <t>Savings/Deficit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</si>
</sst>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5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6" fillId="6" borderId="0" xfId="0" applyFont="1" applyFill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5" fillId="2" borderId="1" xfId="0" applyFont="1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2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</dxfs>
  <tableStyles count="1" defaultTableStyle="TableStyleMedium2" defaultPivotStyle="PivotStyleLight16">
    <tableStyle name="Invisible" pivot="0" table="0" count="0" xr9:uid="{C3941904-3526-4704-A2C9-461DAD7527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68225-7858-4879-A6EF-CAF3B6088490}" name="Table2" displayName="Table2" ref="A7:N12" totalsRowShown="0" headerRowDxfId="6">
  <autoFilter ref="A7:N12" xr:uid="{9A468225-7858-4879-A6EF-CAF3B6088490}"/>
  <tableColumns count="14">
    <tableColumn id="1" xr3:uid="{B58E1195-9B94-4E25-B9C6-84FB5EC2A92E}" name="Item"/>
    <tableColumn id="2" xr3:uid="{B84CFA83-60D5-45C0-B6D1-557EFDEED0E9}" name="Jan"/>
    <tableColumn id="3" xr3:uid="{BB053B1F-568E-4391-8ED1-C14814D209D8}" name="Feb"/>
    <tableColumn id="4" xr3:uid="{34566582-974A-424B-B9CA-C9DB3D377751}" name="Mar"/>
    <tableColumn id="5" xr3:uid="{F8F83805-7D9B-45F3-8074-11291A0C783A}" name="Apr"/>
    <tableColumn id="6" xr3:uid="{A8A7BC0B-C0E1-49D3-9E7F-7F29AF677B98}" name="May"/>
    <tableColumn id="7" xr3:uid="{08FC0394-5DE9-43E9-94F8-C8C566071E31}" name="Jun"/>
    <tableColumn id="8" xr3:uid="{83F0A441-FC8B-4DD0-8356-B2E8F8E79ABC}" name="Jul"/>
    <tableColumn id="9" xr3:uid="{6DDD5C4F-0928-4393-9E7B-080D96C0AD11}" name="Aug"/>
    <tableColumn id="10" xr3:uid="{5D7848C2-041B-44A9-9A0E-81B07A7BDF13}" name="Sep"/>
    <tableColumn id="11" xr3:uid="{63BA39EB-78FA-4D61-8212-28278DC46E9B}" name="Oct"/>
    <tableColumn id="12" xr3:uid="{CA9D5103-6726-4FBE-9242-5C452B5CB8B0}" name="Nov"/>
    <tableColumn id="13" xr3:uid="{2679FEDC-34E8-40CF-98CE-5F6A75CB36EA}" name="Dec"/>
    <tableColumn id="14" xr3:uid="{D73E1C95-A721-4EB2-9E8A-6EDB864394FC}" name="Year To 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6DE7BB-325A-45E3-A372-7EF7EB64ED45}" name="Table3" displayName="Table3" ref="A15:N29" totalsRowShown="0" headerRowDxfId="3" headerRowBorderDxfId="4" tableBorderDxfId="5">
  <autoFilter ref="A15:N29" xr:uid="{346DE7BB-325A-45E3-A372-7EF7EB64ED45}"/>
  <tableColumns count="14">
    <tableColumn id="1" xr3:uid="{065DF4A1-9E00-47B8-AA83-27A94C55D350}" name="Item"/>
    <tableColumn id="2" xr3:uid="{D15C5D2D-51B5-42C4-8268-0D5CFE757227}" name="Jan"/>
    <tableColumn id="3" xr3:uid="{8902FCBF-D477-4A70-BD4F-069A53A3F5BE}" name="Feb"/>
    <tableColumn id="4" xr3:uid="{DB35A181-D672-44FE-962B-0CB4D2B2194C}" name="Mar"/>
    <tableColumn id="5" xr3:uid="{E3972DFF-814C-40EC-957E-C83F5517DAFD}" name="Apr"/>
    <tableColumn id="6" xr3:uid="{0EA9980F-FE55-4F27-9F14-AE0750647351}" name="May"/>
    <tableColumn id="7" xr3:uid="{02B1B43E-D240-4F71-A40C-07D8B9A6FF22}" name="Jun"/>
    <tableColumn id="8" xr3:uid="{94B6FDCE-3402-4DF9-B8E7-0E7ED2882F52}" name="Jul"/>
    <tableColumn id="9" xr3:uid="{AF79F518-E765-47DD-B6EE-D2AF021DE05C}" name="Aug"/>
    <tableColumn id="10" xr3:uid="{B44C15BB-6533-4139-8B11-39DA8F113D64}" name="Sep"/>
    <tableColumn id="11" xr3:uid="{C8963A79-4FC2-4D6D-ACB1-0ADD25CC7A54}" name="Oct"/>
    <tableColumn id="12" xr3:uid="{F7156673-912F-4976-B2B6-44A2697B23FC}" name="Nov"/>
    <tableColumn id="13" xr3:uid="{A3FE1C8B-867B-4F3E-B65E-F6706434993A}" name="Dec"/>
    <tableColumn id="14" xr3:uid="{EAEE8A81-E8DA-414D-9B20-024BBFCBCB6F}" name="Year To 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892E-FF16-4B43-AB43-D9DD168B7088}">
  <dimension ref="A2:N31"/>
  <sheetViews>
    <sheetView tabSelected="1" workbookViewId="0">
      <selection activeCell="U16" sqref="U16"/>
    </sheetView>
  </sheetViews>
  <sheetFormatPr defaultRowHeight="14.4" x14ac:dyDescent="0.3"/>
  <cols>
    <col min="1" max="1" width="17.77734375" customWidth="1"/>
    <col min="5" max="8" width="8.88671875" customWidth="1"/>
    <col min="14" max="14" width="13.44140625" customWidth="1"/>
  </cols>
  <sheetData>
    <row r="2" spans="1:14" x14ac:dyDescent="0.3">
      <c r="A2" s="14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x14ac:dyDescent="0.3">
      <c r="A4" s="1" t="s">
        <v>0</v>
      </c>
      <c r="B4" s="1"/>
      <c r="C4" s="1"/>
      <c r="D4" s="1"/>
    </row>
    <row r="5" spans="1:14" ht="15" thickBot="1" x14ac:dyDescent="0.35"/>
    <row r="6" spans="1:14" ht="15" thickBot="1" x14ac:dyDescent="0.35">
      <c r="A6" s="15" t="s">
        <v>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</row>
    <row r="7" spans="1:14" x14ac:dyDescent="0.3">
      <c r="A7" s="2" t="s">
        <v>2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</row>
    <row r="8" spans="1:14" x14ac:dyDescent="0.3">
      <c r="A8" t="s">
        <v>3</v>
      </c>
      <c r="B8">
        <v>60000</v>
      </c>
      <c r="C8">
        <v>60000</v>
      </c>
      <c r="D8">
        <v>60000</v>
      </c>
      <c r="E8">
        <v>75000</v>
      </c>
      <c r="N8">
        <v>255000</v>
      </c>
    </row>
    <row r="9" spans="1:14" x14ac:dyDescent="0.3">
      <c r="A9" t="s">
        <v>4</v>
      </c>
      <c r="B9">
        <v>14000</v>
      </c>
      <c r="C9">
        <v>14000</v>
      </c>
      <c r="D9">
        <v>0</v>
      </c>
      <c r="E9">
        <v>15000</v>
      </c>
      <c r="N9">
        <v>43000</v>
      </c>
    </row>
    <row r="10" spans="1:14" x14ac:dyDescent="0.3">
      <c r="A10" t="s">
        <v>5</v>
      </c>
      <c r="B10">
        <v>2000</v>
      </c>
      <c r="C10">
        <v>600</v>
      </c>
      <c r="D10">
        <v>1400</v>
      </c>
      <c r="E10">
        <v>0</v>
      </c>
      <c r="N10">
        <v>4000</v>
      </c>
    </row>
    <row r="11" spans="1:14" ht="15" thickBot="1" x14ac:dyDescent="0.35">
      <c r="A11" t="s">
        <v>6</v>
      </c>
      <c r="B11">
        <v>0</v>
      </c>
      <c r="C11">
        <v>0</v>
      </c>
      <c r="D11">
        <v>0</v>
      </c>
      <c r="E11">
        <v>0</v>
      </c>
      <c r="N11">
        <v>0</v>
      </c>
    </row>
    <row r="12" spans="1:14" ht="15" thickBot="1" x14ac:dyDescent="0.35">
      <c r="A12" s="3" t="s">
        <v>21</v>
      </c>
      <c r="B12" s="4">
        <f>SUM(B8:B11)</f>
        <v>76000</v>
      </c>
      <c r="C12" s="4">
        <f t="shared" ref="C12:E12" si="0">SUM(C8:C11)</f>
        <v>74600</v>
      </c>
      <c r="D12" s="4">
        <f t="shared" si="0"/>
        <v>61400</v>
      </c>
      <c r="E12" s="4">
        <f t="shared" si="0"/>
        <v>90000</v>
      </c>
      <c r="F12" s="4"/>
      <c r="G12" s="4"/>
      <c r="H12" s="4"/>
      <c r="I12" s="4"/>
      <c r="J12" s="4"/>
      <c r="K12" s="4"/>
      <c r="L12" s="4"/>
      <c r="M12" s="4"/>
      <c r="N12" s="5">
        <f>SUM(N8:N11)</f>
        <v>302000</v>
      </c>
    </row>
    <row r="13" spans="1:14" ht="15" thickBot="1" x14ac:dyDescent="0.35"/>
    <row r="14" spans="1:14" ht="15" thickBot="1" x14ac:dyDescent="0.35">
      <c r="A14" s="15" t="s">
        <v>22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</row>
    <row r="15" spans="1:14" x14ac:dyDescent="0.3">
      <c r="A15" s="7" t="s">
        <v>2</v>
      </c>
      <c r="B15" s="8" t="s">
        <v>7</v>
      </c>
      <c r="C15" s="8" t="s">
        <v>8</v>
      </c>
      <c r="D15" s="8" t="s">
        <v>9</v>
      </c>
      <c r="E15" s="8" t="s">
        <v>10</v>
      </c>
      <c r="F15" s="8" t="s">
        <v>11</v>
      </c>
      <c r="G15" s="8" t="s">
        <v>12</v>
      </c>
      <c r="H15" s="8" t="s">
        <v>13</v>
      </c>
      <c r="I15" s="8" t="s">
        <v>14</v>
      </c>
      <c r="J15" s="8" t="s">
        <v>15</v>
      </c>
      <c r="K15" s="8" t="s">
        <v>16</v>
      </c>
      <c r="L15" s="8" t="s">
        <v>17</v>
      </c>
      <c r="M15" s="8" t="s">
        <v>18</v>
      </c>
      <c r="N15" s="9" t="s">
        <v>19</v>
      </c>
    </row>
    <row r="16" spans="1:14" x14ac:dyDescent="0.3">
      <c r="A16" s="6" t="s">
        <v>23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t="s">
        <v>24</v>
      </c>
      <c r="B17">
        <v>23000</v>
      </c>
      <c r="C17">
        <v>23000</v>
      </c>
      <c r="D17">
        <v>23000</v>
      </c>
      <c r="E17">
        <v>22500</v>
      </c>
      <c r="N17">
        <v>91500</v>
      </c>
    </row>
    <row r="18" spans="1:14" x14ac:dyDescent="0.3">
      <c r="A18" t="s">
        <v>25</v>
      </c>
      <c r="B18">
        <v>400</v>
      </c>
      <c r="C18">
        <v>400</v>
      </c>
      <c r="D18">
        <v>400</v>
      </c>
      <c r="E18">
        <v>400</v>
      </c>
      <c r="N18">
        <v>1600</v>
      </c>
    </row>
    <row r="19" spans="1:14" x14ac:dyDescent="0.3">
      <c r="A19" t="s">
        <v>26</v>
      </c>
      <c r="B19">
        <v>1700</v>
      </c>
      <c r="C19">
        <v>1600</v>
      </c>
      <c r="D19">
        <v>2300</v>
      </c>
      <c r="E19">
        <v>2800</v>
      </c>
      <c r="N19">
        <v>8400</v>
      </c>
    </row>
    <row r="20" spans="1:14" x14ac:dyDescent="0.3">
      <c r="A20" t="s">
        <v>27</v>
      </c>
      <c r="B20">
        <v>800</v>
      </c>
      <c r="C20">
        <v>950</v>
      </c>
      <c r="D20">
        <v>940</v>
      </c>
      <c r="E20">
        <v>1020</v>
      </c>
      <c r="N20">
        <v>3710</v>
      </c>
    </row>
    <row r="21" spans="1:14" x14ac:dyDescent="0.3">
      <c r="A21" t="s">
        <v>28</v>
      </c>
      <c r="B21">
        <v>600</v>
      </c>
      <c r="C21">
        <v>230</v>
      </c>
      <c r="D21">
        <v>2350</v>
      </c>
      <c r="E21">
        <v>1540</v>
      </c>
      <c r="N21">
        <v>4720</v>
      </c>
    </row>
    <row r="22" spans="1:14" x14ac:dyDescent="0.3">
      <c r="A22" s="6" t="s">
        <v>29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">
      <c r="A23" t="s">
        <v>30</v>
      </c>
      <c r="B23">
        <v>200</v>
      </c>
      <c r="C23">
        <v>180</v>
      </c>
      <c r="D23">
        <v>160</v>
      </c>
      <c r="E23">
        <v>210</v>
      </c>
      <c r="N23">
        <v>750</v>
      </c>
    </row>
    <row r="24" spans="1:14" x14ac:dyDescent="0.3">
      <c r="A24" t="s">
        <v>31</v>
      </c>
      <c r="B24">
        <v>50</v>
      </c>
      <c r="C24">
        <v>45</v>
      </c>
      <c r="D24">
        <v>37</v>
      </c>
      <c r="E24">
        <v>0</v>
      </c>
      <c r="N24">
        <v>132</v>
      </c>
    </row>
    <row r="25" spans="1:14" x14ac:dyDescent="0.3">
      <c r="A25" s="6" t="s">
        <v>34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">
      <c r="A26" t="s">
        <v>32</v>
      </c>
      <c r="B26">
        <v>125</v>
      </c>
      <c r="C26">
        <v>100</v>
      </c>
      <c r="D26">
        <v>67</v>
      </c>
      <c r="E26">
        <v>140</v>
      </c>
      <c r="N26">
        <v>432</v>
      </c>
    </row>
    <row r="27" spans="1:14" x14ac:dyDescent="0.3">
      <c r="A27" t="s">
        <v>33</v>
      </c>
      <c r="B27">
        <v>10</v>
      </c>
      <c r="C27">
        <v>5</v>
      </c>
      <c r="D27">
        <v>9</v>
      </c>
      <c r="E27">
        <v>0</v>
      </c>
      <c r="N27">
        <v>24</v>
      </c>
    </row>
    <row r="28" spans="1:14" ht="15" thickBot="1" x14ac:dyDescent="0.35">
      <c r="A28" t="s">
        <v>35</v>
      </c>
      <c r="B28">
        <v>20</v>
      </c>
      <c r="C28">
        <v>45</v>
      </c>
      <c r="D28">
        <v>67</v>
      </c>
      <c r="E28">
        <v>120</v>
      </c>
      <c r="N28">
        <v>252</v>
      </c>
    </row>
    <row r="29" spans="1:14" ht="15" thickBot="1" x14ac:dyDescent="0.35">
      <c r="A29" s="3" t="s">
        <v>36</v>
      </c>
      <c r="B29" s="4">
        <f>SUM(B17:B28)</f>
        <v>26905</v>
      </c>
      <c r="C29" s="4">
        <f t="shared" ref="C29:N29" si="1">SUM(C17:C28)</f>
        <v>26555</v>
      </c>
      <c r="D29" s="4">
        <f t="shared" si="1"/>
        <v>29330</v>
      </c>
      <c r="E29" s="4">
        <f t="shared" si="1"/>
        <v>28730</v>
      </c>
      <c r="F29" s="4"/>
      <c r="G29" s="4"/>
      <c r="H29" s="4"/>
      <c r="I29" s="4"/>
      <c r="J29" s="4"/>
      <c r="K29" s="4"/>
      <c r="L29" s="4"/>
      <c r="M29" s="4"/>
      <c r="N29" s="5">
        <f t="shared" si="1"/>
        <v>111520</v>
      </c>
    </row>
    <row r="30" spans="1:14" ht="15" thickBot="1" x14ac:dyDescent="0.35"/>
    <row r="31" spans="1:14" ht="15" thickBot="1" x14ac:dyDescent="0.35">
      <c r="A31" s="10" t="s">
        <v>37</v>
      </c>
      <c r="B31" s="11">
        <f>B12-B29</f>
        <v>49095</v>
      </c>
      <c r="C31" s="11">
        <f t="shared" ref="C31:N31" si="2">C12-C29</f>
        <v>48045</v>
      </c>
      <c r="D31" s="12">
        <f t="shared" si="2"/>
        <v>32070</v>
      </c>
      <c r="E31" s="11">
        <f t="shared" si="2"/>
        <v>61270</v>
      </c>
      <c r="F31" s="11"/>
      <c r="G31" s="11"/>
      <c r="H31" s="11"/>
      <c r="I31" s="11"/>
      <c r="J31" s="11"/>
      <c r="K31" s="11"/>
      <c r="L31" s="11"/>
      <c r="M31" s="11"/>
      <c r="N31" s="13">
        <f>N12-N29</f>
        <v>190480</v>
      </c>
    </row>
  </sheetData>
  <mergeCells count="3">
    <mergeCell ref="A14:N14"/>
    <mergeCell ref="A2:N2"/>
    <mergeCell ref="A6:N6"/>
  </mergeCells>
  <phoneticPr fontId="4" type="noConversion"/>
  <conditionalFormatting sqref="B31:E31">
    <cfRule type="cellIs" dxfId="0" priority="2" operator="lessThan">
      <formula>40000</formula>
    </cfRule>
    <cfRule type="cellIs" dxfId="1" priority="1" operator="lessThan">
      <formula>40000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bhusal</dc:creator>
  <cp:lastModifiedBy>sushant bhusal</cp:lastModifiedBy>
  <dcterms:created xsi:type="dcterms:W3CDTF">2026-01-03T14:11:57Z</dcterms:created>
  <dcterms:modified xsi:type="dcterms:W3CDTF">2026-01-03T17:01:38Z</dcterms:modified>
</cp:coreProperties>
</file>